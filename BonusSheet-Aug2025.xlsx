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usSheet-Aug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164" fontId="0" fillId="3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5" customWidth="1" min="8" max="8"/>
    <col width="15" customWidth="1" min="9" max="9"/>
    <col width="18" customWidth="1" min="10" max="10"/>
    <col width="12" customWidth="1" min="11" max="11"/>
    <col width="12" customWidth="1" min="12" max="12"/>
    <col width="10" customWidth="1" min="13" max="13"/>
    <col width="15" customWidth="1" min="14" max="1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Meeting Hrs</t>
        </is>
      </c>
      <c r="D1" s="1" t="inlineStr">
        <is>
          <t>Assigned Hrs</t>
        </is>
      </c>
      <c r="E1" s="1" t="inlineStr">
        <is>
          <t>Completed Hrs</t>
        </is>
      </c>
      <c r="F1" s="1" t="inlineStr">
        <is>
          <t>Complexity Factor</t>
        </is>
      </c>
      <c r="G1" s="1" t="inlineStr">
        <is>
          <t>QA Factor</t>
        </is>
      </c>
      <c r="H1" s="1" t="inlineStr">
        <is>
          <t>Task Failed (Y/N)</t>
        </is>
      </c>
      <c r="I1" s="1" t="inlineStr">
        <is>
          <t>Leave Taken (Y/N)</t>
        </is>
      </c>
      <c r="J1" s="1" t="inlineStr">
        <is>
          <t>Auto-adjust Available Hrs</t>
        </is>
      </c>
      <c r="K1" s="1" t="inlineStr">
        <is>
          <t>% Efficiency</t>
        </is>
      </c>
      <c r="L1" s="1" t="inlineStr">
        <is>
          <t>Raw Points</t>
        </is>
      </c>
      <c r="M1" s="1" t="inlineStr">
        <is>
          <t>OT Points</t>
        </is>
      </c>
      <c r="N1" s="1" t="inlineStr">
        <is>
          <t>Approved Points</t>
        </is>
      </c>
    </row>
    <row r="2">
      <c r="A2" s="2" t="inlineStr">
        <is>
          <t>2025-08-01</t>
        </is>
      </c>
      <c r="B2" s="2" t="inlineStr">
        <is>
          <t>Fri</t>
        </is>
      </c>
      <c r="C2" s="3" t="n">
        <v>0</v>
      </c>
      <c r="D2" s="3" t="n">
        <v>9</v>
      </c>
      <c r="E2" s="3" t="n">
        <v>9</v>
      </c>
      <c r="F2" s="3" t="n">
        <v>1</v>
      </c>
      <c r="G2" s="3" t="n">
        <v>1</v>
      </c>
      <c r="H2" s="3" t="inlineStr">
        <is>
          <t>N</t>
        </is>
      </c>
      <c r="I2" s="3" t="inlineStr">
        <is>
          <t>N</t>
        </is>
      </c>
      <c r="J2" s="4">
        <f>IF(I2="Y",0,9-C2)</f>
        <v/>
      </c>
      <c r="K2" s="5">
        <f>IF(J2=0,0,E2/J2)</f>
        <v/>
      </c>
      <c r="L2" s="4">
        <f>E2*F2*G2</f>
        <v/>
      </c>
      <c r="M2" s="4">
        <f>IF(E2&gt;D2,E2-D2,0)</f>
        <v/>
      </c>
      <c r="N2" s="4">
        <f>IF(H2="Y",0,ROUND(K2*L2,2))</f>
        <v/>
      </c>
    </row>
    <row r="3">
      <c r="A3" s="2" t="inlineStr">
        <is>
          <t>2025-08-02</t>
        </is>
      </c>
      <c r="B3" s="2" t="inlineStr">
        <is>
          <t>Sat</t>
        </is>
      </c>
      <c r="C3" s="3" t="n">
        <v>0</v>
      </c>
      <c r="D3" s="3" t="n">
        <v>9</v>
      </c>
      <c r="E3" s="3" t="n">
        <v>9</v>
      </c>
      <c r="F3" s="3" t="n">
        <v>1</v>
      </c>
      <c r="G3" s="3" t="n">
        <v>1</v>
      </c>
      <c r="H3" s="3" t="inlineStr">
        <is>
          <t>N</t>
        </is>
      </c>
      <c r="I3" s="3" t="inlineStr">
        <is>
          <t>N</t>
        </is>
      </c>
      <c r="J3" s="4">
        <f>IF(I3="Y",0,9-C3)</f>
        <v/>
      </c>
      <c r="K3" s="5">
        <f>IF(J3=0,0,E3/J3)</f>
        <v/>
      </c>
      <c r="L3" s="4">
        <f>E3*F3*G3</f>
        <v/>
      </c>
      <c r="M3" s="4">
        <f>IF(E3&gt;D3,E3-D3,0)</f>
        <v/>
      </c>
      <c r="N3" s="4">
        <f>IF(H3="Y",0,ROUND(K3*L3,2))</f>
        <v/>
      </c>
    </row>
    <row r="4">
      <c r="A4" s="2" t="inlineStr">
        <is>
          <t>2025-08-04</t>
        </is>
      </c>
      <c r="B4" s="2" t="inlineStr">
        <is>
          <t>Mon</t>
        </is>
      </c>
      <c r="C4" s="3" t="n">
        <v>0</v>
      </c>
      <c r="D4" s="3" t="n">
        <v>9</v>
      </c>
      <c r="E4" s="3" t="n">
        <v>9</v>
      </c>
      <c r="F4" s="3" t="n">
        <v>1</v>
      </c>
      <c r="G4" s="3" t="n">
        <v>1</v>
      </c>
      <c r="H4" s="3" t="inlineStr">
        <is>
          <t>N</t>
        </is>
      </c>
      <c r="I4" s="3" t="inlineStr">
        <is>
          <t>N</t>
        </is>
      </c>
      <c r="J4" s="4">
        <f>IF(I4="Y",0,9-C4)</f>
        <v/>
      </c>
      <c r="K4" s="5">
        <f>IF(J4=0,0,E4/J4)</f>
        <v/>
      </c>
      <c r="L4" s="4">
        <f>E4*F4*G4</f>
        <v/>
      </c>
      <c r="M4" s="4">
        <f>IF(E4&gt;D4,E4-D4,0)</f>
        <v/>
      </c>
      <c r="N4" s="4">
        <f>IF(H4="Y",0,ROUND(K4*L4,2))</f>
        <v/>
      </c>
    </row>
    <row r="5">
      <c r="A5" s="2" t="inlineStr">
        <is>
          <t>2025-08-05</t>
        </is>
      </c>
      <c r="B5" s="2" t="inlineStr">
        <is>
          <t>Tue</t>
        </is>
      </c>
      <c r="C5" s="3" t="n">
        <v>0</v>
      </c>
      <c r="D5" s="3" t="n">
        <v>9</v>
      </c>
      <c r="E5" s="3" t="n">
        <v>9</v>
      </c>
      <c r="F5" s="3" t="n">
        <v>1</v>
      </c>
      <c r="G5" s="3" t="n">
        <v>1</v>
      </c>
      <c r="H5" s="3" t="inlineStr">
        <is>
          <t>N</t>
        </is>
      </c>
      <c r="I5" s="3" t="inlineStr">
        <is>
          <t>N</t>
        </is>
      </c>
      <c r="J5" s="4">
        <f>IF(I5="Y",0,9-C5)</f>
        <v/>
      </c>
      <c r="K5" s="5">
        <f>IF(J5=0,0,E5/J5)</f>
        <v/>
      </c>
      <c r="L5" s="4">
        <f>E5*F5*G5</f>
        <v/>
      </c>
      <c r="M5" s="4">
        <f>IF(E5&gt;D5,E5-D5,0)</f>
        <v/>
      </c>
      <c r="N5" s="4">
        <f>IF(H5="Y",0,ROUND(K5*L5,2))</f>
        <v/>
      </c>
    </row>
    <row r="6">
      <c r="A6" s="2" t="inlineStr">
        <is>
          <t>2025-08-06</t>
        </is>
      </c>
      <c r="B6" s="2" t="inlineStr">
        <is>
          <t>Wed</t>
        </is>
      </c>
      <c r="C6" s="3" t="n">
        <v>0</v>
      </c>
      <c r="D6" s="3" t="n">
        <v>9</v>
      </c>
      <c r="E6" s="3" t="n">
        <v>9</v>
      </c>
      <c r="F6" s="3" t="n">
        <v>1</v>
      </c>
      <c r="G6" s="3" t="n">
        <v>1</v>
      </c>
      <c r="H6" s="3" t="inlineStr">
        <is>
          <t>N</t>
        </is>
      </c>
      <c r="I6" s="3" t="inlineStr">
        <is>
          <t>N</t>
        </is>
      </c>
      <c r="J6" s="4">
        <f>IF(I6="Y",0,9-C6)</f>
        <v/>
      </c>
      <c r="K6" s="5">
        <f>IF(J6=0,0,E6/J6)</f>
        <v/>
      </c>
      <c r="L6" s="4">
        <f>E6*F6*G6</f>
        <v/>
      </c>
      <c r="M6" s="4">
        <f>IF(E6&gt;D6,E6-D6,0)</f>
        <v/>
      </c>
      <c r="N6" s="4">
        <f>IF(H6="Y",0,ROUND(K6*L6,2))</f>
        <v/>
      </c>
    </row>
    <row r="7">
      <c r="A7" s="2" t="inlineStr">
        <is>
          <t>2025-08-07</t>
        </is>
      </c>
      <c r="B7" s="2" t="inlineStr">
        <is>
          <t>Thu</t>
        </is>
      </c>
      <c r="C7" s="3" t="n">
        <v>0</v>
      </c>
      <c r="D7" s="3" t="n">
        <v>9</v>
      </c>
      <c r="E7" s="3" t="n">
        <v>9</v>
      </c>
      <c r="F7" s="3" t="n">
        <v>1</v>
      </c>
      <c r="G7" s="3" t="n">
        <v>1</v>
      </c>
      <c r="H7" s="3" t="inlineStr">
        <is>
          <t>N</t>
        </is>
      </c>
      <c r="I7" s="3" t="inlineStr">
        <is>
          <t>N</t>
        </is>
      </c>
      <c r="J7" s="4">
        <f>IF(I7="Y",0,9-C7)</f>
        <v/>
      </c>
      <c r="K7" s="5">
        <f>IF(J7=0,0,E7/J7)</f>
        <v/>
      </c>
      <c r="L7" s="4">
        <f>E7*F7*G7</f>
        <v/>
      </c>
      <c r="M7" s="4">
        <f>IF(E7&gt;D7,E7-D7,0)</f>
        <v/>
      </c>
      <c r="N7" s="4">
        <f>IF(H7="Y",0,ROUND(K7*L7,2))</f>
        <v/>
      </c>
    </row>
    <row r="8">
      <c r="A8" s="2" t="inlineStr">
        <is>
          <t>2025-08-08</t>
        </is>
      </c>
      <c r="B8" s="2" t="inlineStr">
        <is>
          <t>Fri</t>
        </is>
      </c>
      <c r="C8" s="3" t="n">
        <v>0</v>
      </c>
      <c r="D8" s="3" t="n">
        <v>9</v>
      </c>
      <c r="E8" s="3" t="n">
        <v>9</v>
      </c>
      <c r="F8" s="3" t="n">
        <v>1</v>
      </c>
      <c r="G8" s="3" t="n">
        <v>1</v>
      </c>
      <c r="H8" s="3" t="inlineStr">
        <is>
          <t>N</t>
        </is>
      </c>
      <c r="I8" s="3" t="inlineStr">
        <is>
          <t>N</t>
        </is>
      </c>
      <c r="J8" s="4">
        <f>IF(I8="Y",0,9-C8)</f>
        <v/>
      </c>
      <c r="K8" s="5">
        <f>IF(J8=0,0,E8/J8)</f>
        <v/>
      </c>
      <c r="L8" s="4">
        <f>E8*F8*G8</f>
        <v/>
      </c>
      <c r="M8" s="4">
        <f>IF(E8&gt;D8,E8-D8,0)</f>
        <v/>
      </c>
      <c r="N8" s="4">
        <f>IF(H8="Y",0,ROUND(K8*L8,2))</f>
        <v/>
      </c>
    </row>
    <row r="9">
      <c r="A9" s="2" t="inlineStr">
        <is>
          <t>2025-08-09</t>
        </is>
      </c>
      <c r="B9" s="2" t="inlineStr">
        <is>
          <t>Sat</t>
        </is>
      </c>
      <c r="C9" s="3" t="n">
        <v>0</v>
      </c>
      <c r="D9" s="3" t="n">
        <v>9</v>
      </c>
      <c r="E9" s="3" t="n">
        <v>9</v>
      </c>
      <c r="F9" s="3" t="n">
        <v>1</v>
      </c>
      <c r="G9" s="3" t="n">
        <v>1</v>
      </c>
      <c r="H9" s="3" t="inlineStr">
        <is>
          <t>N</t>
        </is>
      </c>
      <c r="I9" s="3" t="inlineStr">
        <is>
          <t>N</t>
        </is>
      </c>
      <c r="J9" s="4">
        <f>IF(I9="Y",0,9-C9)</f>
        <v/>
      </c>
      <c r="K9" s="5">
        <f>IF(J9=0,0,E9/J9)</f>
        <v/>
      </c>
      <c r="L9" s="4">
        <f>E9*F9*G9</f>
        <v/>
      </c>
      <c r="M9" s="4">
        <f>IF(E9&gt;D9,E9-D9,0)</f>
        <v/>
      </c>
      <c r="N9" s="4">
        <f>IF(H9="Y",0,ROUND(K9*L9,2))</f>
        <v/>
      </c>
    </row>
    <row r="10">
      <c r="A10" s="2" t="inlineStr">
        <is>
          <t>2025-08-11</t>
        </is>
      </c>
      <c r="B10" s="2" t="inlineStr">
        <is>
          <t>Mon</t>
        </is>
      </c>
      <c r="C10" s="3" t="n">
        <v>0</v>
      </c>
      <c r="D10" s="3" t="n">
        <v>9</v>
      </c>
      <c r="E10" s="3" t="n">
        <v>9</v>
      </c>
      <c r="F10" s="3" t="n">
        <v>1</v>
      </c>
      <c r="G10" s="3" t="n">
        <v>1</v>
      </c>
      <c r="H10" s="3" t="inlineStr">
        <is>
          <t>N</t>
        </is>
      </c>
      <c r="I10" s="3" t="inlineStr">
        <is>
          <t>N</t>
        </is>
      </c>
      <c r="J10" s="4">
        <f>IF(I10="Y",0,9-C10)</f>
        <v/>
      </c>
      <c r="K10" s="5">
        <f>IF(J10=0,0,E10/J10)</f>
        <v/>
      </c>
      <c r="L10" s="4">
        <f>E10*F10*G10</f>
        <v/>
      </c>
      <c r="M10" s="4">
        <f>IF(E10&gt;D10,E10-D10,0)</f>
        <v/>
      </c>
      <c r="N10" s="4">
        <f>IF(H10="Y",0,ROUND(K10*L10,2))</f>
        <v/>
      </c>
    </row>
    <row r="11">
      <c r="A11" s="2" t="inlineStr">
        <is>
          <t>2025-08-12</t>
        </is>
      </c>
      <c r="B11" s="2" t="inlineStr">
        <is>
          <t>Tue</t>
        </is>
      </c>
      <c r="C11" s="3" t="n">
        <v>0</v>
      </c>
      <c r="D11" s="3" t="n">
        <v>9</v>
      </c>
      <c r="E11" s="3" t="n">
        <v>9</v>
      </c>
      <c r="F11" s="3" t="n">
        <v>1</v>
      </c>
      <c r="G11" s="3" t="n">
        <v>1</v>
      </c>
      <c r="H11" s="3" t="inlineStr">
        <is>
          <t>N</t>
        </is>
      </c>
      <c r="I11" s="3" t="inlineStr">
        <is>
          <t>N</t>
        </is>
      </c>
      <c r="J11" s="4">
        <f>IF(I11="Y",0,9-C11)</f>
        <v/>
      </c>
      <c r="K11" s="5">
        <f>IF(J11=0,0,E11/J11)</f>
        <v/>
      </c>
      <c r="L11" s="4">
        <f>E11*F11*G11</f>
        <v/>
      </c>
      <c r="M11" s="4">
        <f>IF(E11&gt;D11,E11-D11,0)</f>
        <v/>
      </c>
      <c r="N11" s="4">
        <f>IF(H11="Y",0,ROUND(K11*L11,2))</f>
        <v/>
      </c>
    </row>
    <row r="12">
      <c r="A12" s="2" t="inlineStr">
        <is>
          <t>2025-08-13</t>
        </is>
      </c>
      <c r="B12" s="2" t="inlineStr">
        <is>
          <t>Wed</t>
        </is>
      </c>
      <c r="C12" s="3" t="n">
        <v>0</v>
      </c>
      <c r="D12" s="3" t="n">
        <v>9</v>
      </c>
      <c r="E12" s="3" t="n">
        <v>9</v>
      </c>
      <c r="F12" s="3" t="n">
        <v>1</v>
      </c>
      <c r="G12" s="3" t="n">
        <v>1</v>
      </c>
      <c r="H12" s="3" t="inlineStr">
        <is>
          <t>N</t>
        </is>
      </c>
      <c r="I12" s="3" t="inlineStr">
        <is>
          <t>N</t>
        </is>
      </c>
      <c r="J12" s="4">
        <f>IF(I12="Y",0,9-C12)</f>
        <v/>
      </c>
      <c r="K12" s="5">
        <f>IF(J12=0,0,E12/J12)</f>
        <v/>
      </c>
      <c r="L12" s="4">
        <f>E12*F12*G12</f>
        <v/>
      </c>
      <c r="M12" s="4">
        <f>IF(E12&gt;D12,E12-D12,0)</f>
        <v/>
      </c>
      <c r="N12" s="4">
        <f>IF(H12="Y",0,ROUND(K12*L12,2))</f>
        <v/>
      </c>
    </row>
    <row r="13">
      <c r="A13" s="2" t="inlineStr">
        <is>
          <t>2025-08-14</t>
        </is>
      </c>
      <c r="B13" s="2" t="inlineStr">
        <is>
          <t>Thu</t>
        </is>
      </c>
      <c r="C13" s="3" t="n">
        <v>0</v>
      </c>
      <c r="D13" s="3" t="n">
        <v>9</v>
      </c>
      <c r="E13" s="3" t="n">
        <v>9</v>
      </c>
      <c r="F13" s="3" t="n">
        <v>1</v>
      </c>
      <c r="G13" s="3" t="n">
        <v>1</v>
      </c>
      <c r="H13" s="3" t="inlineStr">
        <is>
          <t>N</t>
        </is>
      </c>
      <c r="I13" s="3" t="inlineStr">
        <is>
          <t>N</t>
        </is>
      </c>
      <c r="J13" s="4">
        <f>IF(I13="Y",0,9-C13)</f>
        <v/>
      </c>
      <c r="K13" s="5">
        <f>IF(J13=0,0,E13/J13)</f>
        <v/>
      </c>
      <c r="L13" s="4">
        <f>E13*F13*G13</f>
        <v/>
      </c>
      <c r="M13" s="4">
        <f>IF(E13&gt;D13,E13-D13,0)</f>
        <v/>
      </c>
      <c r="N13" s="4">
        <f>IF(H13="Y",0,ROUND(K13*L13,2))</f>
        <v/>
      </c>
    </row>
    <row r="14">
      <c r="A14" s="2" t="inlineStr">
        <is>
          <t>2025-08-15</t>
        </is>
      </c>
      <c r="B14" s="2" t="inlineStr">
        <is>
          <t>Fri</t>
        </is>
      </c>
      <c r="C14" s="3" t="n">
        <v>0</v>
      </c>
      <c r="D14" s="3" t="n">
        <v>9</v>
      </c>
      <c r="E14" s="3" t="n">
        <v>9</v>
      </c>
      <c r="F14" s="3" t="n">
        <v>1</v>
      </c>
      <c r="G14" s="3" t="n">
        <v>1</v>
      </c>
      <c r="H14" s="3" t="inlineStr">
        <is>
          <t>N</t>
        </is>
      </c>
      <c r="I14" s="3" t="inlineStr">
        <is>
          <t>N</t>
        </is>
      </c>
      <c r="J14" s="4">
        <f>IF(I14="Y",0,9-C14)</f>
        <v/>
      </c>
      <c r="K14" s="5">
        <f>IF(J14=0,0,E14/J14)</f>
        <v/>
      </c>
      <c r="L14" s="4">
        <f>E14*F14*G14</f>
        <v/>
      </c>
      <c r="M14" s="4">
        <f>IF(E14&gt;D14,E14-D14,0)</f>
        <v/>
      </c>
      <c r="N14" s="4">
        <f>IF(H14="Y",0,ROUND(K14*L14,2))</f>
        <v/>
      </c>
    </row>
    <row r="15">
      <c r="A15" s="2" t="inlineStr">
        <is>
          <t>2025-08-16</t>
        </is>
      </c>
      <c r="B15" s="2" t="inlineStr">
        <is>
          <t>Sat</t>
        </is>
      </c>
      <c r="C15" s="3" t="n">
        <v>0</v>
      </c>
      <c r="D15" s="3" t="n">
        <v>9</v>
      </c>
      <c r="E15" s="3" t="n">
        <v>9</v>
      </c>
      <c r="F15" s="3" t="n">
        <v>1</v>
      </c>
      <c r="G15" s="3" t="n">
        <v>1</v>
      </c>
      <c r="H15" s="3" t="inlineStr">
        <is>
          <t>N</t>
        </is>
      </c>
      <c r="I15" s="3" t="inlineStr">
        <is>
          <t>N</t>
        </is>
      </c>
      <c r="J15" s="4">
        <f>IF(I15="Y",0,9-C15)</f>
        <v/>
      </c>
      <c r="K15" s="5">
        <f>IF(J15=0,0,E15/J15)</f>
        <v/>
      </c>
      <c r="L15" s="4">
        <f>E15*F15*G15</f>
        <v/>
      </c>
      <c r="M15" s="4">
        <f>IF(E15&gt;D15,E15-D15,0)</f>
        <v/>
      </c>
      <c r="N15" s="4">
        <f>IF(H15="Y",0,ROUND(K15*L15,2))</f>
        <v/>
      </c>
    </row>
    <row r="16">
      <c r="A16" s="2" t="inlineStr">
        <is>
          <t>2025-08-18</t>
        </is>
      </c>
      <c r="B16" s="2" t="inlineStr">
        <is>
          <t>Mon</t>
        </is>
      </c>
      <c r="C16" s="3" t="n">
        <v>0</v>
      </c>
      <c r="D16" s="3" t="n">
        <v>9</v>
      </c>
      <c r="E16" s="3" t="n">
        <v>9</v>
      </c>
      <c r="F16" s="3" t="n">
        <v>1</v>
      </c>
      <c r="G16" s="3" t="n">
        <v>1</v>
      </c>
      <c r="H16" s="3" t="inlineStr">
        <is>
          <t>N</t>
        </is>
      </c>
      <c r="I16" s="3" t="inlineStr">
        <is>
          <t>N</t>
        </is>
      </c>
      <c r="J16" s="4">
        <f>IF(I16="Y",0,9-C16)</f>
        <v/>
      </c>
      <c r="K16" s="5">
        <f>IF(J16=0,0,E16/J16)</f>
        <v/>
      </c>
      <c r="L16" s="4">
        <f>E16*F16*G16</f>
        <v/>
      </c>
      <c r="M16" s="4">
        <f>IF(E16&gt;D16,E16-D16,0)</f>
        <v/>
      </c>
      <c r="N16" s="4">
        <f>IF(H16="Y",0,ROUND(K16*L16,2))</f>
        <v/>
      </c>
    </row>
    <row r="17">
      <c r="A17" s="2" t="inlineStr">
        <is>
          <t>2025-08-19</t>
        </is>
      </c>
      <c r="B17" s="2" t="inlineStr">
        <is>
          <t>Tue</t>
        </is>
      </c>
      <c r="C17" s="3" t="n">
        <v>0</v>
      </c>
      <c r="D17" s="3" t="n">
        <v>9</v>
      </c>
      <c r="E17" s="3" t="n">
        <v>9</v>
      </c>
      <c r="F17" s="3" t="n">
        <v>1</v>
      </c>
      <c r="G17" s="3" t="n">
        <v>1</v>
      </c>
      <c r="H17" s="3" t="inlineStr">
        <is>
          <t>N</t>
        </is>
      </c>
      <c r="I17" s="3" t="inlineStr">
        <is>
          <t>N</t>
        </is>
      </c>
      <c r="J17" s="4">
        <f>IF(I17="Y",0,9-C17)</f>
        <v/>
      </c>
      <c r="K17" s="5">
        <f>IF(J17=0,0,E17/J17)</f>
        <v/>
      </c>
      <c r="L17" s="4">
        <f>E17*F17*G17</f>
        <v/>
      </c>
      <c r="M17" s="4">
        <f>IF(E17&gt;D17,E17-D17,0)</f>
        <v/>
      </c>
      <c r="N17" s="4">
        <f>IF(H17="Y",0,ROUND(K17*L17,2))</f>
        <v/>
      </c>
    </row>
    <row r="18">
      <c r="A18" s="2" t="inlineStr">
        <is>
          <t>2025-08-20</t>
        </is>
      </c>
      <c r="B18" s="2" t="inlineStr">
        <is>
          <t>Wed</t>
        </is>
      </c>
      <c r="C18" s="3" t="n">
        <v>0</v>
      </c>
      <c r="D18" s="3" t="n">
        <v>9</v>
      </c>
      <c r="E18" s="3" t="n">
        <v>9</v>
      </c>
      <c r="F18" s="3" t="n">
        <v>1</v>
      </c>
      <c r="G18" s="3" t="n">
        <v>1</v>
      </c>
      <c r="H18" s="3" t="inlineStr">
        <is>
          <t>N</t>
        </is>
      </c>
      <c r="I18" s="3" t="inlineStr">
        <is>
          <t>N</t>
        </is>
      </c>
      <c r="J18" s="4">
        <f>IF(I18="Y",0,9-C18)</f>
        <v/>
      </c>
      <c r="K18" s="5">
        <f>IF(J18=0,0,E18/J18)</f>
        <v/>
      </c>
      <c r="L18" s="4">
        <f>E18*F18*G18</f>
        <v/>
      </c>
      <c r="M18" s="4">
        <f>IF(E18&gt;D18,E18-D18,0)</f>
        <v/>
      </c>
      <c r="N18" s="4">
        <f>IF(H18="Y",0,ROUND(K18*L18,2))</f>
        <v/>
      </c>
    </row>
    <row r="19">
      <c r="A19" s="2" t="inlineStr">
        <is>
          <t>2025-08-21</t>
        </is>
      </c>
      <c r="B19" s="2" t="inlineStr">
        <is>
          <t>Thu</t>
        </is>
      </c>
      <c r="C19" s="3" t="n">
        <v>0</v>
      </c>
      <c r="D19" s="3" t="n">
        <v>9</v>
      </c>
      <c r="E19" s="3" t="n">
        <v>9</v>
      </c>
      <c r="F19" s="3" t="n">
        <v>1</v>
      </c>
      <c r="G19" s="3" t="n">
        <v>1</v>
      </c>
      <c r="H19" s="3" t="inlineStr">
        <is>
          <t>N</t>
        </is>
      </c>
      <c r="I19" s="3" t="inlineStr">
        <is>
          <t>N</t>
        </is>
      </c>
      <c r="J19" s="4">
        <f>IF(I19="Y",0,9-C19)</f>
        <v/>
      </c>
      <c r="K19" s="5">
        <f>IF(J19=0,0,E19/J19)</f>
        <v/>
      </c>
      <c r="L19" s="4">
        <f>E19*F19*G19</f>
        <v/>
      </c>
      <c r="M19" s="4">
        <f>IF(E19&gt;D19,E19-D19,0)</f>
        <v/>
      </c>
      <c r="N19" s="4">
        <f>IF(H19="Y",0,ROUND(K19*L19,2))</f>
        <v/>
      </c>
    </row>
    <row r="20">
      <c r="A20" s="2" t="inlineStr">
        <is>
          <t>2025-08-22</t>
        </is>
      </c>
      <c r="B20" s="2" t="inlineStr">
        <is>
          <t>Fri</t>
        </is>
      </c>
      <c r="C20" s="3" t="n">
        <v>0</v>
      </c>
      <c r="D20" s="3" t="n">
        <v>9</v>
      </c>
      <c r="E20" s="3" t="n">
        <v>9</v>
      </c>
      <c r="F20" s="3" t="n">
        <v>1</v>
      </c>
      <c r="G20" s="3" t="n">
        <v>1</v>
      </c>
      <c r="H20" s="3" t="inlineStr">
        <is>
          <t>N</t>
        </is>
      </c>
      <c r="I20" s="3" t="inlineStr">
        <is>
          <t>N</t>
        </is>
      </c>
      <c r="J20" s="4">
        <f>IF(I20="Y",0,9-C20)</f>
        <v/>
      </c>
      <c r="K20" s="5">
        <f>IF(J20=0,0,E20/J20)</f>
        <v/>
      </c>
      <c r="L20" s="4">
        <f>E20*F20*G20</f>
        <v/>
      </c>
      <c r="M20" s="4">
        <f>IF(E20&gt;D20,E20-D20,0)</f>
        <v/>
      </c>
      <c r="N20" s="4">
        <f>IF(H20="Y",0,ROUND(K20*L20,2))</f>
        <v/>
      </c>
    </row>
    <row r="21">
      <c r="A21" s="2" t="inlineStr">
        <is>
          <t>2025-08-23</t>
        </is>
      </c>
      <c r="B21" s="2" t="inlineStr">
        <is>
          <t>Sat</t>
        </is>
      </c>
      <c r="C21" s="3" t="n">
        <v>0</v>
      </c>
      <c r="D21" s="3" t="n">
        <v>9</v>
      </c>
      <c r="E21" s="3" t="n">
        <v>9</v>
      </c>
      <c r="F21" s="3" t="n">
        <v>1</v>
      </c>
      <c r="G21" s="3" t="n">
        <v>1</v>
      </c>
      <c r="H21" s="3" t="inlineStr">
        <is>
          <t>N</t>
        </is>
      </c>
      <c r="I21" s="3" t="inlineStr">
        <is>
          <t>N</t>
        </is>
      </c>
      <c r="J21" s="4">
        <f>IF(I21="Y",0,9-C21)</f>
        <v/>
      </c>
      <c r="K21" s="5">
        <f>IF(J21=0,0,E21/J21)</f>
        <v/>
      </c>
      <c r="L21" s="4">
        <f>E21*F21*G21</f>
        <v/>
      </c>
      <c r="M21" s="4">
        <f>IF(E21&gt;D21,E21-D21,0)</f>
        <v/>
      </c>
      <c r="N21" s="4">
        <f>IF(H21="Y",0,ROUND(K21*L21,2))</f>
        <v/>
      </c>
    </row>
    <row r="22">
      <c r="A22" s="2" t="inlineStr">
        <is>
          <t>2025-08-25</t>
        </is>
      </c>
      <c r="B22" s="2" t="inlineStr">
        <is>
          <t>Mon</t>
        </is>
      </c>
      <c r="C22" s="3" t="n">
        <v>0</v>
      </c>
      <c r="D22" s="3" t="n">
        <v>9</v>
      </c>
      <c r="E22" s="3" t="n">
        <v>9</v>
      </c>
      <c r="F22" s="3" t="n">
        <v>1</v>
      </c>
      <c r="G22" s="3" t="n">
        <v>1</v>
      </c>
      <c r="H22" s="3" t="inlineStr">
        <is>
          <t>N</t>
        </is>
      </c>
      <c r="I22" s="3" t="inlineStr">
        <is>
          <t>N</t>
        </is>
      </c>
      <c r="J22" s="4">
        <f>IF(I22="Y",0,9-C22)</f>
        <v/>
      </c>
      <c r="K22" s="5">
        <f>IF(J22=0,0,E22/J22)</f>
        <v/>
      </c>
      <c r="L22" s="4">
        <f>E22*F22*G22</f>
        <v/>
      </c>
      <c r="M22" s="4">
        <f>IF(E22&gt;D22,E22-D22,0)</f>
        <v/>
      </c>
      <c r="N22" s="4">
        <f>IF(H22="Y",0,ROUND(K22*L22,2))</f>
        <v/>
      </c>
    </row>
    <row r="23">
      <c r="A23" s="2" t="inlineStr">
        <is>
          <t>2025-08-26</t>
        </is>
      </c>
      <c r="B23" s="2" t="inlineStr">
        <is>
          <t>Tue</t>
        </is>
      </c>
      <c r="C23" s="3" t="n">
        <v>0</v>
      </c>
      <c r="D23" s="3" t="n">
        <v>9</v>
      </c>
      <c r="E23" s="3" t="n">
        <v>9</v>
      </c>
      <c r="F23" s="3" t="n">
        <v>1</v>
      </c>
      <c r="G23" s="3" t="n">
        <v>1</v>
      </c>
      <c r="H23" s="3" t="inlineStr">
        <is>
          <t>N</t>
        </is>
      </c>
      <c r="I23" s="3" t="inlineStr">
        <is>
          <t>N</t>
        </is>
      </c>
      <c r="J23" s="4">
        <f>IF(I23="Y",0,9-C23)</f>
        <v/>
      </c>
      <c r="K23" s="5">
        <f>IF(J23=0,0,E23/J23)</f>
        <v/>
      </c>
      <c r="L23" s="4">
        <f>E23*F23*G23</f>
        <v/>
      </c>
      <c r="M23" s="4">
        <f>IF(E23&gt;D23,E23-D23,0)</f>
        <v/>
      </c>
      <c r="N23" s="4">
        <f>IF(H23="Y",0,ROUND(K23*L23,2))</f>
        <v/>
      </c>
    </row>
    <row r="24">
      <c r="A24" s="2" t="inlineStr">
        <is>
          <t>2025-08-27</t>
        </is>
      </c>
      <c r="B24" s="2" t="inlineStr">
        <is>
          <t>Wed</t>
        </is>
      </c>
      <c r="C24" s="3" t="n">
        <v>0</v>
      </c>
      <c r="D24" s="3" t="n">
        <v>9</v>
      </c>
      <c r="E24" s="3" t="n">
        <v>9</v>
      </c>
      <c r="F24" s="3" t="n">
        <v>1</v>
      </c>
      <c r="G24" s="3" t="n">
        <v>1</v>
      </c>
      <c r="H24" s="3" t="inlineStr">
        <is>
          <t>N</t>
        </is>
      </c>
      <c r="I24" s="3" t="inlineStr">
        <is>
          <t>N</t>
        </is>
      </c>
      <c r="J24" s="4">
        <f>IF(I24="Y",0,9-C24)</f>
        <v/>
      </c>
      <c r="K24" s="5">
        <f>IF(J24=0,0,E24/J24)</f>
        <v/>
      </c>
      <c r="L24" s="4">
        <f>E24*F24*G24</f>
        <v/>
      </c>
      <c r="M24" s="4">
        <f>IF(E24&gt;D24,E24-D24,0)</f>
        <v/>
      </c>
      <c r="N24" s="4">
        <f>IF(H24="Y",0,ROUND(K24*L24,2))</f>
        <v/>
      </c>
    </row>
    <row r="25">
      <c r="A25" s="2" t="inlineStr">
        <is>
          <t>2025-08-28</t>
        </is>
      </c>
      <c r="B25" s="2" t="inlineStr">
        <is>
          <t>Thu</t>
        </is>
      </c>
      <c r="C25" s="3" t="n">
        <v>0</v>
      </c>
      <c r="D25" s="3" t="n">
        <v>9</v>
      </c>
      <c r="E25" s="3" t="n">
        <v>9</v>
      </c>
      <c r="F25" s="3" t="n">
        <v>1</v>
      </c>
      <c r="G25" s="3" t="n">
        <v>1</v>
      </c>
      <c r="H25" s="3" t="inlineStr">
        <is>
          <t>N</t>
        </is>
      </c>
      <c r="I25" s="3" t="inlineStr">
        <is>
          <t>N</t>
        </is>
      </c>
      <c r="J25" s="4">
        <f>IF(I25="Y",0,9-C25)</f>
        <v/>
      </c>
      <c r="K25" s="5">
        <f>IF(J25=0,0,E25/J25)</f>
        <v/>
      </c>
      <c r="L25" s="4">
        <f>E25*F25*G25</f>
        <v/>
      </c>
      <c r="M25" s="4">
        <f>IF(E25&gt;D25,E25-D25,0)</f>
        <v/>
      </c>
      <c r="N25" s="4">
        <f>IF(H25="Y",0,ROUND(K25*L25,2))</f>
        <v/>
      </c>
    </row>
    <row r="26">
      <c r="A26" s="2" t="inlineStr">
        <is>
          <t>2025-08-29</t>
        </is>
      </c>
      <c r="B26" s="2" t="inlineStr">
        <is>
          <t>Fri</t>
        </is>
      </c>
      <c r="C26" s="3" t="n">
        <v>0</v>
      </c>
      <c r="D26" s="3" t="n">
        <v>9</v>
      </c>
      <c r="E26" s="3" t="n">
        <v>9</v>
      </c>
      <c r="F26" s="3" t="n">
        <v>1</v>
      </c>
      <c r="G26" s="3" t="n">
        <v>1</v>
      </c>
      <c r="H26" s="3" t="inlineStr">
        <is>
          <t>N</t>
        </is>
      </c>
      <c r="I26" s="3" t="inlineStr">
        <is>
          <t>N</t>
        </is>
      </c>
      <c r="J26" s="4">
        <f>IF(I26="Y",0,9-C26)</f>
        <v/>
      </c>
      <c r="K26" s="5">
        <f>IF(J26=0,0,E26/J26)</f>
        <v/>
      </c>
      <c r="L26" s="4">
        <f>E26*F26*G26</f>
        <v/>
      </c>
      <c r="M26" s="4">
        <f>IF(E26&gt;D26,E26-D26,0)</f>
        <v/>
      </c>
      <c r="N26" s="4">
        <f>IF(H26="Y",0,ROUND(K26*L26,2))</f>
        <v/>
      </c>
    </row>
    <row r="27">
      <c r="A27" s="2" t="inlineStr">
        <is>
          <t>2025-08-30</t>
        </is>
      </c>
      <c r="B27" s="2" t="inlineStr">
        <is>
          <t>Sat</t>
        </is>
      </c>
      <c r="C27" s="3" t="n">
        <v>0</v>
      </c>
      <c r="D27" s="3" t="n">
        <v>9</v>
      </c>
      <c r="E27" s="3" t="n">
        <v>9</v>
      </c>
      <c r="F27" s="3" t="n">
        <v>1</v>
      </c>
      <c r="G27" s="3" t="n">
        <v>1</v>
      </c>
      <c r="H27" s="3" t="inlineStr">
        <is>
          <t>N</t>
        </is>
      </c>
      <c r="I27" s="3" t="inlineStr">
        <is>
          <t>N</t>
        </is>
      </c>
      <c r="J27" s="4">
        <f>IF(I27="Y",0,9-C27)</f>
        <v/>
      </c>
      <c r="K27" s="5">
        <f>IF(J27=0,0,E27/J27)</f>
        <v/>
      </c>
      <c r="L27" s="4">
        <f>E27*F27*G27</f>
        <v/>
      </c>
      <c r="M27" s="4">
        <f>IF(E27&gt;D27,E27-D27,0)</f>
        <v/>
      </c>
      <c r="N27" s="4">
        <f>IF(H27="Y",0,ROUND(K27*L27,2))</f>
        <v/>
      </c>
    </row>
    <row r="29">
      <c r="M29" s="6" t="inlineStr">
        <is>
          <t>SUMMARY</t>
        </is>
      </c>
    </row>
    <row r="31">
      <c r="M31" s="7" t="inlineStr">
        <is>
          <t>Total Earned Points</t>
        </is>
      </c>
      <c r="N31" s="2">
        <f>SUM(N2:N27)</f>
        <v/>
      </c>
    </row>
    <row r="32">
      <c r="M32" s="7" t="inlineStr">
        <is>
          <t>Workdays (W)</t>
        </is>
      </c>
      <c r="N32" s="2" t="n">
        <v>26</v>
      </c>
    </row>
    <row r="33">
      <c r="M33" s="7" t="inlineStr">
        <is>
          <t>Base Salary</t>
        </is>
      </c>
      <c r="N33" s="8" t="n">
        <v>50000</v>
      </c>
    </row>
    <row r="34">
      <c r="M34" s="7" t="inlineStr">
        <is>
          <t>Bonus Rate/Point</t>
        </is>
      </c>
      <c r="N34" s="9">
        <f>N33*0.5/(N32*10)</f>
        <v/>
      </c>
    </row>
    <row r="35">
      <c r="M35" s="7" t="inlineStr">
        <is>
          <t>Monthly Bonus</t>
        </is>
      </c>
      <c r="N35" s="9">
        <f>MIN(N31*N34,N33*0.5)</f>
        <v/>
      </c>
    </row>
    <row r="36">
      <c r="M36" s="7" t="inlineStr">
        <is>
          <t>Total Pay (Basic + Bonus)</t>
        </is>
      </c>
      <c r="N36" s="9">
        <f>N33+N35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0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2025-08-02T23:28:50Z</dcterms:created>
  <dcterms:modified xmlns:dcterms="http://purl.org/dc/terms/" xmlns:xsi="http://www.w3.org/2001/XMLSchema-instance" xsi:type="dcterms:W3CDTF">2025-08-02T23:28:50Z</dcterms:modified>
</cp:coreProperties>
</file>